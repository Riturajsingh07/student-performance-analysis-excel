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8F31563F-2F58-4D7A-9DC2-C461DD28BF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student_marks">Sheet1!$A$12:$A$12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21" i="1"/>
  <c r="K20" i="1"/>
  <c r="K19" i="1"/>
  <c r="K18" i="1"/>
  <c r="K17" i="1"/>
  <c r="K16" i="1"/>
  <c r="K15" i="1"/>
  <c r="K14" i="1"/>
  <c r="K12" i="1"/>
  <c r="K11" i="1"/>
  <c r="K10" i="1"/>
  <c r="K9" i="1"/>
  <c r="K8" i="1"/>
  <c r="K7" i="1"/>
  <c r="K6" i="1"/>
  <c r="K5" i="1"/>
  <c r="K4" i="1"/>
  <c r="K3" i="1"/>
  <c r="K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21" i="1"/>
  <c r="I20" i="1"/>
  <c r="I19" i="1"/>
  <c r="I18" i="1"/>
  <c r="I17" i="1"/>
  <c r="I16" i="1"/>
  <c r="I15" i="1"/>
  <c r="I14" i="1"/>
  <c r="I12" i="1"/>
  <c r="I11" i="1"/>
  <c r="I10" i="1"/>
  <c r="I9" i="1"/>
  <c r="I8" i="1"/>
  <c r="I7" i="1"/>
  <c r="I6" i="1"/>
  <c r="I5" i="1"/>
  <c r="I4" i="1"/>
  <c r="I3" i="1"/>
  <c r="I2" i="1"/>
  <c r="H21" i="1"/>
  <c r="H20" i="1"/>
  <c r="H19" i="1"/>
  <c r="H18" i="1"/>
  <c r="H17" i="1"/>
  <c r="H16" i="1"/>
  <c r="H15" i="1"/>
  <c r="H14" i="1"/>
  <c r="H13" i="1"/>
  <c r="I13" i="1" s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<sst xmlns="http://schemas.openxmlformats.org/spreadsheetml/2006/main" count="32" uniqueCount="32">
  <si>
    <t>S.NO</t>
  </si>
  <si>
    <t>NAME</t>
  </si>
  <si>
    <t xml:space="preserve">SCIENCE </t>
  </si>
  <si>
    <t>MATHS</t>
  </si>
  <si>
    <t xml:space="preserve">HINDI </t>
  </si>
  <si>
    <t>ENGLISH</t>
  </si>
  <si>
    <t>SANSKRIT</t>
  </si>
  <si>
    <t xml:space="preserve">  TOTAL</t>
  </si>
  <si>
    <t xml:space="preserve"> PERCENTAGE</t>
  </si>
  <si>
    <t>GRADE</t>
  </si>
  <si>
    <t>PASS/FAIL</t>
  </si>
  <si>
    <t>RANK</t>
  </si>
  <si>
    <t>Rahul Sharma</t>
  </si>
  <si>
    <t>Priya Patel</t>
  </si>
  <si>
    <t>Aman Verma</t>
  </si>
  <si>
    <t>Neha Singh</t>
  </si>
  <si>
    <t>Arjun Mehta</t>
  </si>
  <si>
    <t>Sneha Gupta</t>
  </si>
  <si>
    <t xml:space="preserve"> Karan Yadav</t>
  </si>
  <si>
    <t>Pooja Jain</t>
  </si>
  <si>
    <t>Rohan Das</t>
  </si>
  <si>
    <t>Anjali Mihra</t>
  </si>
  <si>
    <t>Abhishek Rajput</t>
  </si>
  <si>
    <t>Tanvi Sharma</t>
  </si>
  <si>
    <t>Harsh Agrawal</t>
  </si>
  <si>
    <t>Diya Dubey</t>
  </si>
  <si>
    <t>Manish Chouhan</t>
  </si>
  <si>
    <t>Payal Shrivastav</t>
  </si>
  <si>
    <t>Meera joshi</t>
  </si>
  <si>
    <t>Riya mehta</t>
  </si>
  <si>
    <t>Nisha Gupta</t>
  </si>
  <si>
    <t>Deepak 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</si>
</sst>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A12" sqref="A12"/>
    </sheetView>
  </sheetViews>
  <sheetFormatPr defaultRowHeight="15"/>
  <cols>
    <col min="1" max="1" width="6.85546875" customWidth="1"/>
    <col min="2" max="2" width="15.5703125" bestFit="1" customWidth="1"/>
    <col min="7" max="7" width="9.28515625" bestFit="1" customWidth="1"/>
    <col min="8" max="8" width="13.42578125" bestFit="1" customWidth="1"/>
    <col min="9" max="9" width="12.85546875" bestFit="1" customWidth="1"/>
    <col min="10" max="10" width="7.140625" customWidth="1"/>
    <col min="11" max="11" width="9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87</v>
      </c>
      <c r="D2">
        <v>26</v>
      </c>
      <c r="E2" s="2">
        <v>4</v>
      </c>
      <c r="F2">
        <v>50</v>
      </c>
      <c r="G2">
        <v>99</v>
      </c>
      <c r="H2">
        <f>SUM(C2:G2)</f>
        <v>266</v>
      </c>
      <c r="I2" s="1">
        <f>H2/500</f>
        <v>0.53200000000000003</v>
      </c>
      <c r="J2" s="3" t="str">
        <f>IF(I2&gt;=0.9,"A",IF(I2&gt;=0.75,"B",IF(I2&gt;=0.6,"C",IF(I2&gt;=0.5,"D","F"))))</f>
        <v>D</v>
      </c>
      <c r="K2" t="str">
        <f>IF(I2&gt;=0.3,"Pass","Fail")</f>
        <v>Pass</v>
      </c>
      <c r="L2">
        <f>RANK(H2,$H$2:$H$21,0)</f>
        <v>9</v>
      </c>
    </row>
    <row r="3" spans="1:12">
      <c r="A3">
        <v>2</v>
      </c>
      <c r="B3" t="s">
        <v>13</v>
      </c>
      <c r="C3" s="2">
        <v>8</v>
      </c>
      <c r="D3">
        <v>65</v>
      </c>
      <c r="E3" s="2">
        <v>16</v>
      </c>
      <c r="F3" s="2">
        <v>4</v>
      </c>
      <c r="G3" s="2">
        <v>16</v>
      </c>
      <c r="H3">
        <f t="shared" ref="H3:H21" si="0">SUM(C3:G3)</f>
        <v>109</v>
      </c>
      <c r="I3" s="1">
        <f t="shared" ref="I3:I21" si="1">H3/500</f>
        <v>0.218</v>
      </c>
      <c r="J3" s="4" t="str">
        <f t="shared" ref="J3:J21" si="2">IF(I3&gt;=0.9,"A",IF(I3&gt;=0.75,"B",IF(I3&gt;=0.6,"C",IF(I3&gt;=0.5,"D","F"))))</f>
        <v>F</v>
      </c>
      <c r="K3" s="8" t="str">
        <f t="shared" ref="K3:K21" si="3">IF(I3&gt;=0.3,"Pass","Fail")</f>
        <v>Fail</v>
      </c>
      <c r="L3">
        <f t="shared" ref="L3:L21" si="4">RANK(H3,$H$2:$H$21,0)</f>
        <v>19</v>
      </c>
    </row>
    <row r="4" spans="1:12">
      <c r="A4">
        <v>3</v>
      </c>
      <c r="B4" t="s">
        <v>14</v>
      </c>
      <c r="C4">
        <v>92</v>
      </c>
      <c r="D4">
        <v>76</v>
      </c>
      <c r="E4">
        <v>38</v>
      </c>
      <c r="F4">
        <v>52</v>
      </c>
      <c r="G4" s="2">
        <v>10</v>
      </c>
      <c r="H4">
        <f t="shared" si="0"/>
        <v>268</v>
      </c>
      <c r="I4" s="1">
        <f t="shared" si="1"/>
        <v>0.53600000000000003</v>
      </c>
      <c r="J4" s="3" t="str">
        <f t="shared" si="2"/>
        <v>D</v>
      </c>
      <c r="K4" t="str">
        <f t="shared" si="3"/>
        <v>Pass</v>
      </c>
      <c r="L4">
        <f t="shared" si="4"/>
        <v>8</v>
      </c>
    </row>
    <row r="5" spans="1:12">
      <c r="A5">
        <v>4</v>
      </c>
      <c r="B5" t="s">
        <v>15</v>
      </c>
      <c r="C5">
        <v>20</v>
      </c>
      <c r="D5">
        <v>92</v>
      </c>
      <c r="E5">
        <v>85</v>
      </c>
      <c r="F5">
        <v>32</v>
      </c>
      <c r="G5">
        <v>91</v>
      </c>
      <c r="H5">
        <f t="shared" si="0"/>
        <v>320</v>
      </c>
      <c r="I5" s="1">
        <f t="shared" si="1"/>
        <v>0.64</v>
      </c>
      <c r="J5" s="3" t="str">
        <f t="shared" si="2"/>
        <v>C</v>
      </c>
      <c r="K5" t="str">
        <f t="shared" si="3"/>
        <v>Pass</v>
      </c>
      <c r="L5" s="6">
        <f t="shared" si="4"/>
        <v>2</v>
      </c>
    </row>
    <row r="6" spans="1:12">
      <c r="A6">
        <v>5</v>
      </c>
      <c r="B6" t="s">
        <v>16</v>
      </c>
      <c r="C6">
        <v>22</v>
      </c>
      <c r="D6" s="2">
        <v>17</v>
      </c>
      <c r="E6">
        <v>20</v>
      </c>
      <c r="F6">
        <v>62</v>
      </c>
      <c r="G6">
        <v>87</v>
      </c>
      <c r="H6">
        <f t="shared" si="0"/>
        <v>208</v>
      </c>
      <c r="I6" s="1">
        <f t="shared" si="1"/>
        <v>0.41599999999999998</v>
      </c>
      <c r="J6" s="4" t="str">
        <f t="shared" si="2"/>
        <v>F</v>
      </c>
      <c r="K6" t="str">
        <f t="shared" si="3"/>
        <v>Pass</v>
      </c>
      <c r="L6">
        <f t="shared" si="4"/>
        <v>15</v>
      </c>
    </row>
    <row r="7" spans="1:12">
      <c r="A7">
        <v>6</v>
      </c>
      <c r="B7" t="s">
        <v>17</v>
      </c>
      <c r="C7" s="2">
        <v>11</v>
      </c>
      <c r="D7">
        <v>75</v>
      </c>
      <c r="E7">
        <v>92</v>
      </c>
      <c r="F7">
        <v>20</v>
      </c>
      <c r="G7" s="2">
        <v>8</v>
      </c>
      <c r="H7">
        <f t="shared" si="0"/>
        <v>206</v>
      </c>
      <c r="I7" s="1">
        <f t="shared" si="1"/>
        <v>0.41199999999999998</v>
      </c>
      <c r="J7" s="4" t="str">
        <f t="shared" si="2"/>
        <v>F</v>
      </c>
      <c r="K7" t="str">
        <f t="shared" si="3"/>
        <v>Pass</v>
      </c>
      <c r="L7">
        <f t="shared" si="4"/>
        <v>16</v>
      </c>
    </row>
    <row r="8" spans="1:12">
      <c r="A8">
        <v>7</v>
      </c>
      <c r="B8" t="s">
        <v>18</v>
      </c>
      <c r="C8">
        <v>72</v>
      </c>
      <c r="D8">
        <v>57</v>
      </c>
      <c r="E8">
        <v>96</v>
      </c>
      <c r="F8">
        <v>27</v>
      </c>
      <c r="G8">
        <v>92</v>
      </c>
      <c r="H8">
        <f t="shared" si="0"/>
        <v>344</v>
      </c>
      <c r="I8" s="1">
        <f t="shared" si="1"/>
        <v>0.68799999999999994</v>
      </c>
      <c r="J8" s="3" t="str">
        <f t="shared" si="2"/>
        <v>C</v>
      </c>
      <c r="K8" t="str">
        <f t="shared" si="3"/>
        <v>Pass</v>
      </c>
      <c r="L8" s="5">
        <f t="shared" si="4"/>
        <v>1</v>
      </c>
    </row>
    <row r="9" spans="1:12">
      <c r="A9">
        <v>8</v>
      </c>
      <c r="B9" t="s">
        <v>19</v>
      </c>
      <c r="C9" s="2">
        <v>4</v>
      </c>
      <c r="D9">
        <v>83</v>
      </c>
      <c r="E9">
        <v>35</v>
      </c>
      <c r="F9">
        <v>30</v>
      </c>
      <c r="G9">
        <v>20</v>
      </c>
      <c r="H9">
        <f t="shared" si="0"/>
        <v>172</v>
      </c>
      <c r="I9" s="1">
        <f t="shared" si="1"/>
        <v>0.34399999999999997</v>
      </c>
      <c r="J9" s="4" t="str">
        <f t="shared" si="2"/>
        <v>F</v>
      </c>
      <c r="K9" t="str">
        <f t="shared" si="3"/>
        <v>Pass</v>
      </c>
      <c r="L9">
        <f t="shared" si="4"/>
        <v>18</v>
      </c>
    </row>
    <row r="10" spans="1:12">
      <c r="A10">
        <v>9</v>
      </c>
      <c r="B10" t="s">
        <v>20</v>
      </c>
      <c r="C10">
        <v>36</v>
      </c>
      <c r="D10" s="2">
        <v>12</v>
      </c>
      <c r="E10">
        <v>96</v>
      </c>
      <c r="F10" s="2">
        <v>12</v>
      </c>
      <c r="G10">
        <v>22</v>
      </c>
      <c r="H10">
        <f t="shared" si="0"/>
        <v>178</v>
      </c>
      <c r="I10" s="1">
        <f t="shared" si="1"/>
        <v>0.35599999999999998</v>
      </c>
      <c r="J10" s="4" t="str">
        <f t="shared" si="2"/>
        <v>F</v>
      </c>
      <c r="K10" t="str">
        <f t="shared" si="3"/>
        <v>Pass</v>
      </c>
      <c r="L10">
        <f t="shared" si="4"/>
        <v>17</v>
      </c>
    </row>
    <row r="11" spans="1:12">
      <c r="A11">
        <v>10</v>
      </c>
      <c r="B11" t="s">
        <v>21</v>
      </c>
      <c r="C11">
        <v>60</v>
      </c>
      <c r="D11">
        <v>99</v>
      </c>
      <c r="E11">
        <v>90</v>
      </c>
      <c r="F11">
        <v>43</v>
      </c>
      <c r="G11">
        <v>11</v>
      </c>
      <c r="H11">
        <f t="shared" si="0"/>
        <v>303</v>
      </c>
      <c r="I11" s="1">
        <f t="shared" si="1"/>
        <v>0.60599999999999998</v>
      </c>
      <c r="J11" s="3" t="str">
        <f t="shared" si="2"/>
        <v>C</v>
      </c>
      <c r="K11" t="str">
        <f t="shared" si="3"/>
        <v>Pass</v>
      </c>
      <c r="L11">
        <f t="shared" si="4"/>
        <v>5</v>
      </c>
    </row>
    <row r="12" spans="1:12">
      <c r="A12">
        <v>11</v>
      </c>
      <c r="B12" t="s">
        <v>22</v>
      </c>
      <c r="C12">
        <v>17</v>
      </c>
      <c r="D12">
        <v>68</v>
      </c>
      <c r="E12">
        <v>93</v>
      </c>
      <c r="F12">
        <v>5</v>
      </c>
      <c r="G12">
        <v>72</v>
      </c>
      <c r="H12">
        <f t="shared" si="0"/>
        <v>255</v>
      </c>
      <c r="I12" s="1">
        <f t="shared" si="1"/>
        <v>0.51</v>
      </c>
      <c r="J12" s="3" t="str">
        <f t="shared" si="2"/>
        <v>D</v>
      </c>
      <c r="K12" t="str">
        <f t="shared" si="3"/>
        <v>Pass</v>
      </c>
      <c r="L12">
        <f t="shared" si="4"/>
        <v>12</v>
      </c>
    </row>
    <row r="13" spans="1:12">
      <c r="A13">
        <v>12</v>
      </c>
      <c r="B13" t="s">
        <v>23</v>
      </c>
      <c r="C13" s="2">
        <v>10</v>
      </c>
      <c r="D13" s="2">
        <v>7</v>
      </c>
      <c r="E13" s="2">
        <v>7</v>
      </c>
      <c r="F13">
        <v>37</v>
      </c>
      <c r="G13" s="2">
        <v>4</v>
      </c>
      <c r="H13">
        <f t="shared" si="0"/>
        <v>65</v>
      </c>
      <c r="I13" s="1">
        <f t="shared" si="1"/>
        <v>0.13</v>
      </c>
      <c r="J13" s="4" t="str">
        <f t="shared" si="2"/>
        <v>F</v>
      </c>
      <c r="K13" s="8" t="str">
        <f>IF(I13&gt;=0.3,"Pass","Fail")</f>
        <v>Fail</v>
      </c>
      <c r="L13">
        <f t="shared" si="4"/>
        <v>20</v>
      </c>
    </row>
    <row r="14" spans="1:12">
      <c r="A14">
        <v>13</v>
      </c>
      <c r="B14" t="s">
        <v>24</v>
      </c>
      <c r="C14">
        <v>86</v>
      </c>
      <c r="D14">
        <v>38</v>
      </c>
      <c r="E14">
        <v>55</v>
      </c>
      <c r="F14">
        <v>94</v>
      </c>
      <c r="G14">
        <v>36</v>
      </c>
      <c r="H14">
        <f t="shared" si="0"/>
        <v>309</v>
      </c>
      <c r="I14" s="1">
        <f t="shared" si="1"/>
        <v>0.61799999999999999</v>
      </c>
      <c r="J14" s="3" t="str">
        <f t="shared" si="2"/>
        <v>C</v>
      </c>
      <c r="K14" t="str">
        <f t="shared" si="3"/>
        <v>Pass</v>
      </c>
      <c r="L14">
        <f t="shared" si="4"/>
        <v>4</v>
      </c>
    </row>
    <row r="15" spans="1:12">
      <c r="A15">
        <v>14</v>
      </c>
      <c r="B15" t="s">
        <v>25</v>
      </c>
      <c r="C15">
        <v>88</v>
      </c>
      <c r="D15">
        <v>65</v>
      </c>
      <c r="E15" s="2">
        <v>16</v>
      </c>
      <c r="F15">
        <v>28</v>
      </c>
      <c r="G15">
        <v>60</v>
      </c>
      <c r="H15">
        <f t="shared" si="0"/>
        <v>257</v>
      </c>
      <c r="I15" s="1">
        <f t="shared" si="1"/>
        <v>0.51400000000000001</v>
      </c>
      <c r="J15" s="3" t="str">
        <f t="shared" si="2"/>
        <v>D</v>
      </c>
      <c r="K15" t="str">
        <f t="shared" si="3"/>
        <v>Pass</v>
      </c>
      <c r="L15">
        <f t="shared" si="4"/>
        <v>11</v>
      </c>
    </row>
    <row r="16" spans="1:12">
      <c r="A16">
        <v>15</v>
      </c>
      <c r="B16" t="s">
        <v>26</v>
      </c>
      <c r="C16">
        <v>26</v>
      </c>
      <c r="D16">
        <v>77</v>
      </c>
      <c r="E16">
        <v>71</v>
      </c>
      <c r="F16">
        <v>67</v>
      </c>
      <c r="G16" s="2">
        <v>17</v>
      </c>
      <c r="H16">
        <f t="shared" si="0"/>
        <v>258</v>
      </c>
      <c r="I16" s="1">
        <f t="shared" si="1"/>
        <v>0.51600000000000001</v>
      </c>
      <c r="J16" s="3" t="str">
        <f t="shared" si="2"/>
        <v>D</v>
      </c>
      <c r="K16" t="str">
        <f t="shared" si="3"/>
        <v>Pass</v>
      </c>
      <c r="L16">
        <f t="shared" si="4"/>
        <v>10</v>
      </c>
    </row>
    <row r="17" spans="1:12">
      <c r="A17">
        <v>16</v>
      </c>
      <c r="B17" t="s">
        <v>27</v>
      </c>
      <c r="C17">
        <v>87</v>
      </c>
      <c r="D17">
        <v>98</v>
      </c>
      <c r="E17">
        <v>16</v>
      </c>
      <c r="F17">
        <v>88</v>
      </c>
      <c r="G17" s="2">
        <v>10</v>
      </c>
      <c r="H17">
        <f t="shared" si="0"/>
        <v>299</v>
      </c>
      <c r="I17" s="1">
        <f t="shared" si="1"/>
        <v>0.59799999999999998</v>
      </c>
      <c r="J17" s="3" t="str">
        <f t="shared" si="2"/>
        <v>D</v>
      </c>
      <c r="K17" t="str">
        <f t="shared" si="3"/>
        <v>Pass</v>
      </c>
      <c r="L17">
        <f t="shared" si="4"/>
        <v>6</v>
      </c>
    </row>
    <row r="18" spans="1:12">
      <c r="A18">
        <v>17</v>
      </c>
      <c r="B18" t="s">
        <v>28</v>
      </c>
      <c r="C18">
        <v>57</v>
      </c>
      <c r="D18">
        <v>54</v>
      </c>
      <c r="E18">
        <v>88</v>
      </c>
      <c r="F18">
        <v>32</v>
      </c>
      <c r="G18">
        <v>86</v>
      </c>
      <c r="H18">
        <f t="shared" si="0"/>
        <v>317</v>
      </c>
      <c r="I18" s="1">
        <f t="shared" si="1"/>
        <v>0.63400000000000001</v>
      </c>
      <c r="J18" s="3" t="str">
        <f t="shared" si="2"/>
        <v>C</v>
      </c>
      <c r="K18" t="str">
        <f t="shared" si="3"/>
        <v>Pass</v>
      </c>
      <c r="L18" s="7">
        <f t="shared" si="4"/>
        <v>3</v>
      </c>
    </row>
    <row r="19" spans="1:12">
      <c r="A19">
        <v>18</v>
      </c>
      <c r="B19" t="s">
        <v>29</v>
      </c>
      <c r="C19">
        <v>12</v>
      </c>
      <c r="D19">
        <v>94</v>
      </c>
      <c r="E19" s="2">
        <v>1</v>
      </c>
      <c r="F19">
        <v>23</v>
      </c>
      <c r="G19">
        <v>88</v>
      </c>
      <c r="H19">
        <f t="shared" si="0"/>
        <v>218</v>
      </c>
      <c r="I19" s="1">
        <f t="shared" si="1"/>
        <v>0.436</v>
      </c>
      <c r="J19" s="4" t="str">
        <f t="shared" si="2"/>
        <v>F</v>
      </c>
      <c r="K19" t="str">
        <f t="shared" si="3"/>
        <v>Pass</v>
      </c>
      <c r="L19">
        <f t="shared" si="4"/>
        <v>14</v>
      </c>
    </row>
    <row r="20" spans="1:12">
      <c r="A20">
        <v>19</v>
      </c>
      <c r="B20" t="s">
        <v>30</v>
      </c>
      <c r="C20">
        <v>77</v>
      </c>
      <c r="D20">
        <v>21</v>
      </c>
      <c r="E20" s="2">
        <v>10</v>
      </c>
      <c r="F20">
        <v>92</v>
      </c>
      <c r="G20">
        <v>26</v>
      </c>
      <c r="H20">
        <f t="shared" si="0"/>
        <v>226</v>
      </c>
      <c r="I20" s="1">
        <f t="shared" si="1"/>
        <v>0.45200000000000001</v>
      </c>
      <c r="J20" s="4" t="str">
        <f t="shared" si="2"/>
        <v>F</v>
      </c>
      <c r="K20" t="str">
        <f t="shared" si="3"/>
        <v>Pass</v>
      </c>
      <c r="L20">
        <f t="shared" si="4"/>
        <v>13</v>
      </c>
    </row>
    <row r="21" spans="1:12">
      <c r="A21">
        <v>20</v>
      </c>
      <c r="B21" t="s">
        <v>31</v>
      </c>
      <c r="C21">
        <v>20</v>
      </c>
      <c r="D21">
        <v>51</v>
      </c>
      <c r="E21">
        <v>42</v>
      </c>
      <c r="F21">
        <v>69</v>
      </c>
      <c r="G21">
        <v>87</v>
      </c>
      <c r="H21">
        <f t="shared" si="0"/>
        <v>269</v>
      </c>
      <c r="I21" s="1">
        <f t="shared" si="1"/>
        <v>0.53800000000000003</v>
      </c>
      <c r="J21" s="3" t="str">
        <f t="shared" si="2"/>
        <v>D</v>
      </c>
      <c r="K21" t="str">
        <f t="shared" si="3"/>
        <v>Pass</v>
      </c>
      <c r="L21">
        <f t="shared" si="4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2026-02-28T01:44:39Z</dcterms:created>
  <dcterms:modified xsi:type="dcterms:W3CDTF">2026-02-28T06:26:18Z</dcterms:modified>
  <cp:category/>
  <cp:contentStatus/>
</cp:coreProperties>
</file>